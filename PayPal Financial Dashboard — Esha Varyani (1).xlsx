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KPI Summary" sheetId="2" r:id="rId6"/>
    <sheet state="visible" name="Dashboard " sheetId="3" r:id="rId7"/>
    <sheet state="visible" name="Analyst Notes" sheetId="4" r:id="rId8"/>
  </sheets>
  <definedNames/>
  <calcPr/>
</workbook>
</file>

<file path=xl/sharedStrings.xml><?xml version="1.0" encoding="utf-8"?>
<sst xmlns="http://schemas.openxmlformats.org/spreadsheetml/2006/main" count="32" uniqueCount="30">
  <si>
    <t>Metric</t>
  </si>
  <si>
    <t>Revenue ($B)</t>
  </si>
  <si>
    <t>Net Income ($B)</t>
  </si>
  <si>
    <t>Net Profit Margin (%)</t>
  </si>
  <si>
    <t>Active Accounts (M)</t>
  </si>
  <si>
    <t>Total Payment Volume ($B)</t>
  </si>
  <si>
    <t>Revenue Growth YoY (%)</t>
  </si>
  <si>
    <t>—</t>
  </si>
  <si>
    <t>Transactions Per Account</t>
  </si>
  <si>
    <t>KPI</t>
  </si>
  <si>
    <t>Value</t>
  </si>
  <si>
    <t>Formula in Google Sheets</t>
  </si>
  <si>
    <t>Status</t>
  </si>
  <si>
    <t>5-Year Revenue Growth</t>
  </si>
  <si>
    <t>✅ Strong</t>
  </si>
  <si>
    <t>2024 Net Profit Margin</t>
  </si>
  <si>
    <t>⚠️ Declining</t>
  </si>
  <si>
    <t>Account Growth (2020–24)</t>
  </si>
  <si>
    <t>⚠️ Slowing</t>
  </si>
  <si>
    <t>TPV Growth (2020–24)</t>
  </si>
  <si>
    <t>Engagement Growth</t>
  </si>
  <si>
    <t>2022 Profitability Dip</t>
  </si>
  <si>
    <t>🔴 Anomaly</t>
  </si>
  <si>
    <t>PAYPAL FINANCIAL ANALYSIS — KEY OBSERVATIONS Prepared by: Esha Varyani | MSc Fintech &amp; Business Analytics, University of Westminster | 2026</t>
  </si>
  <si>
    <t>1. REVENUE GROWTH — STRONG BUT DECELERATING PayPal grew total revenue 48.3% over five years, from $21.45B (2020) to $31.80B (2024). However annual growth rate has decelerated significantly — from 18.3% in 2021 down to 6.8% in 2024. This signals market saturation in core payments and increasing competition from Apple Pay, Google Pay, and Stripe.</t>
  </si>
  <si>
    <t>2. THE 2022 PROFITABILITY DIP — WHAT HAPPENED Net profit margin collapsed from 19.6% (2020) to 8.8% (2022) — the most significant single-year deterioration in the dataset. Three factors drove this: post-pandemic normalisation of e-commerce volumes after the 2020-2021 surge, rising transaction and operating costs, and write-downs on strategic investment positions. Recovery to 13-14% by 2023-2024 reflects disciplined cost management under new leadership.</t>
  </si>
  <si>
    <t>3. THE USER GROWTH PARADOX Active accounts grew only 15.1% over five years (377M to 434M) — effectively flat from 2021 onwards. This is a significant strategic concern. However, transactions per active account grew 50.1% (40.9 to 61.4), indicating existing users are transacting more frequently. PayPal's challenge is acquisition, not retention.</t>
  </si>
  <si>
    <t>4. TOTAL PAYMENT VOLUME — THE REAL GROWTH STORY TPV grew 79.5% from $936B (2020) to $1,680B (2024), significantly outpacing both revenue growth (48.3%) and user growth (15.1%). This means each transaction is generating less revenue proportionally — a margin compression signal worth monitoring.</t>
  </si>
  <si>
    <t>5. STRATEGIC IMPLICATIONS FOR CLIENT SUCCESS From a CSM perspective, PayPal's data tells a retention success story. High engagement per user and strong TPV growth despite flat account numbers suggests the product is deeply embedded in user behaviour. Onboarding quality and early engagement depth matter more than pure acquisition volume — a lesson applicable to any B2B fintech client success strategy.</t>
  </si>
  <si>
    <t>Data Source: PayPal Holdings Inc. SEC 10-K Annual Filings 2020–2024</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</si>
</sst>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9.0"/>
      <color rgb="FFFFFFFF"/>
      <name val="&quot;Anthropic Sans&quot;"/>
    </font>
    <font>
      <sz val="9.0"/>
      <color rgb="FF000000"/>
      <name val="&quot;Anthropic Sans&quot;"/>
    </font>
    <font>
      <sz val="9.0"/>
      <color rgb="FF1E8449"/>
      <name val="&quot;Anthropic Sans&quot;"/>
    </font>
    <font>
      <sz val="9.0"/>
      <color rgb="FFD35400"/>
      <name val="&quot;Anthropic Sans&quot;"/>
    </font>
    <font>
      <sz val="9.0"/>
      <color rgb="FFC0392B"/>
      <name val="&quot;Anthropic Sans&quot;"/>
    </font>
    <font>
      <sz val="12.0"/>
      <color rgb="FFFFFFFF"/>
      <name val="&quot;Anthropic Sans&quot;"/>
    </font>
    <font>
      <color theme="1"/>
      <name val="Arial"/>
      <scheme val="minor"/>
    </font>
  </fonts>
  <fills count="7">
    <fill>
      <patternFill patternType="none"/>
    </fill>
    <fill>
      <patternFill patternType="lightGray"/>
    </fill>
    <fill>
      <patternFill patternType="solid">
        <fgColor rgb="FF1A5276"/>
        <bgColor rgb="FF1A5276"/>
      </patternFill>
    </fill>
    <fill>
      <patternFill patternType="solid">
        <fgColor rgb="FF30302E"/>
        <bgColor rgb="FF30302E"/>
      </patternFill>
    </fill>
    <fill>
      <patternFill patternType="solid">
        <fgColor rgb="FFD6EAF8"/>
        <bgColor rgb="FFD6EAF8"/>
      </patternFill>
    </fill>
    <fill>
      <patternFill patternType="solid">
        <fgColor rgb="FF000000"/>
        <bgColor rgb="FF000000"/>
      </patternFill>
    </fill>
    <fill>
      <patternFill patternType="solid">
        <fgColor theme="4"/>
        <bgColor theme="4"/>
      </patternFill>
    </fill>
  </fills>
  <borders count="2">
    <border/>
    <border>
      <left style="thin">
        <color rgb="FFDEDCD1"/>
      </left>
      <right style="thin">
        <color rgb="FFDEDCD1"/>
      </right>
      <top style="thin">
        <color rgb="FFDEDCD1"/>
      </top>
      <bottom style="thin">
        <color rgb="FFDEDCD1"/>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1" fillId="3" fontId="1" numFmtId="0" xfId="0" applyAlignment="1" applyBorder="1" applyFill="1" applyFont="1">
      <alignment readingOrder="0"/>
    </xf>
    <xf borderId="1" fillId="4" fontId="2" numFmtId="0" xfId="0" applyAlignment="1" applyBorder="1" applyFill="1" applyFont="1">
      <alignment readingOrder="0"/>
    </xf>
    <xf borderId="1" fillId="4" fontId="2" numFmtId="3" xfId="0" applyAlignment="1" applyBorder="1" applyFont="1" applyNumberFormat="1">
      <alignment readingOrder="0"/>
    </xf>
    <xf borderId="1" fillId="5" fontId="1" numFmtId="0" xfId="0" applyAlignment="1" applyBorder="1" applyFill="1" applyFont="1">
      <alignment readingOrder="0"/>
    </xf>
    <xf borderId="1" fillId="6" fontId="1" numFmtId="0" xfId="0" applyBorder="1" applyFill="1" applyFont="1"/>
    <xf borderId="1" fillId="4" fontId="3" numFmtId="0" xfId="0" applyAlignment="1" applyBorder="1" applyFont="1">
      <alignment readingOrder="0"/>
    </xf>
    <xf borderId="1" fillId="0" fontId="4" numFmtId="0" xfId="0" applyAlignment="1" applyBorder="1" applyFont="1">
      <alignment readingOrder="0"/>
    </xf>
    <xf borderId="1" fillId="4" fontId="4" numFmtId="0" xfId="0" applyAlignment="1" applyBorder="1" applyFont="1">
      <alignment readingOrder="0"/>
    </xf>
    <xf borderId="1" fillId="0" fontId="3" numFmtId="0" xfId="0" applyAlignment="1" applyBorder="1" applyFont="1">
      <alignment readingOrder="0"/>
    </xf>
    <xf borderId="1" fillId="0" fontId="5" numFmtId="0" xfId="0" applyAlignment="1" applyBorder="1" applyFont="1">
      <alignment readingOrder="0"/>
    </xf>
    <xf borderId="0" fillId="0" fontId="6" numFmtId="0" xfId="0" applyFont="1"/>
    <xf borderId="0" fillId="0" fontId="7" numFmtId="0" xfId="0" applyAlignment="1" applyFont="1">
      <alignment readingOrder="0"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PayPal Revenue vs Net Income 2020–2024 ($B)</a:t>
            </a:r>
          </a:p>
        </c:rich>
      </c:tx>
      <c:overlay val="0"/>
    </c:title>
    <c:plotArea>
      <c:layout/>
      <c:barChart>
        <c:barDir val="col"/>
        <c:ser>
          <c:idx val="0"/>
          <c:order val="0"/>
          <c:tx>
            <c:strRef>
              <c:f>'Raw Data'!$A$2</c:f>
            </c:strRef>
          </c:tx>
          <c:spPr>
            <a:solidFill>
              <a:srgbClr val="1155CC"/>
            </a:solidFill>
            <a:ln cmpd="sng">
              <a:solidFill>
                <a:srgbClr val="000000"/>
              </a:solidFill>
            </a:ln>
          </c:spPr>
          <c:cat>
            <c:strRef>
              <c:f>'Raw Data'!$B$1:$F$1</c:f>
            </c:strRef>
          </c:cat>
          <c:val>
            <c:numRef>
              <c:f>'Raw Data'!$B$2:$F$2</c:f>
              <c:numCache/>
            </c:numRef>
          </c:val>
        </c:ser>
        <c:ser>
          <c:idx val="1"/>
          <c:order val="1"/>
          <c:tx>
            <c:strRef>
              <c:f>'Raw Data'!$A$3</c:f>
            </c:strRef>
          </c:tx>
          <c:spPr>
            <a:solidFill>
              <a:srgbClr val="FF9900"/>
            </a:solidFill>
            <a:ln cmpd="sng">
              <a:solidFill>
                <a:srgbClr val="000000"/>
              </a:solidFill>
            </a:ln>
          </c:spPr>
          <c:cat>
            <c:strRef>
              <c:f>'Raw Data'!$B$1:$F$1</c:f>
            </c:strRef>
          </c:cat>
          <c:val>
            <c:numRef>
              <c:f>'Raw Data'!$B$3:$F$3</c:f>
              <c:numCache/>
            </c:numRef>
          </c:val>
        </c:ser>
        <c:axId val="1832059236"/>
        <c:axId val="2133977454"/>
      </c:barChart>
      <c:catAx>
        <c:axId val="18320592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3977454"/>
      </c:catAx>
      <c:valAx>
        <c:axId val="2133977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205923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Accounts vs Transactions Per Account 2020–2024</a:t>
            </a:r>
          </a:p>
        </c:rich>
      </c:tx>
      <c:overlay val="0"/>
    </c:title>
    <c:plotArea>
      <c:layout/>
      <c:barChart>
        <c:barDir val="col"/>
        <c:ser>
          <c:idx val="0"/>
          <c:order val="0"/>
          <c:tx>
            <c:strRef>
              <c:f>'Raw Data'!$A$1</c:f>
            </c:strRef>
          </c:tx>
          <c:spPr>
            <a:solidFill>
              <a:srgbClr val="4A86E8"/>
            </a:solidFill>
            <a:ln cmpd="sng">
              <a:solidFill>
                <a:srgbClr val="4A86E8">
                  <a:alpha val="100000"/>
                </a:srgbClr>
              </a:solidFill>
            </a:ln>
          </c:spPr>
          <c:dPt>
            <c:idx val="3"/>
            <c:spPr>
              <a:solidFill>
                <a:srgbClr val="4A86E8"/>
              </a:solidFill>
              <a:ln cmpd="sng">
                <a:solidFill>
                  <a:srgbClr val="000000"/>
                </a:solidFill>
              </a:ln>
            </c:spPr>
          </c:dPt>
          <c:val>
            <c:numRef>
              <c:f>'Raw Data'!$B$1:$F$1</c:f>
              <c:numCache/>
            </c:numRef>
          </c:val>
        </c:ser>
        <c:axId val="559888849"/>
        <c:axId val="1008464606"/>
      </c:barChart>
      <c:lineChart>
        <c:varyColors val="0"/>
        <c:ser>
          <c:idx val="1"/>
          <c:order val="1"/>
          <c:tx>
            <c:strRef>
              <c:f>'Raw Data'!$A$5</c:f>
            </c:strRef>
          </c:tx>
          <c:spPr>
            <a:ln cmpd="sng">
              <a:solidFill>
                <a:srgbClr val="FFFF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'Raw Data'!$B$5:$F$5</c:f>
              <c:numCache/>
            </c:numRef>
          </c:val>
          <c:smooth val="0"/>
        </c:ser>
        <c:axId val="559888849"/>
        <c:axId val="1008464606"/>
      </c:lineChart>
      <c:catAx>
        <c:axId val="559888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8464606"/>
      </c:catAx>
      <c:valAx>
        <c:axId val="1008464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9888849"/>
      </c:valAx>
      <c:lineChart>
        <c:varyColors val="0"/>
        <c:ser>
          <c:idx val="2"/>
          <c:order val="2"/>
          <c:tx>
            <c:strRef>
              <c:f>'Raw Data'!$A$8</c:f>
            </c:strRef>
          </c:tx>
          <c:spPr>
            <a:ln cmpd="sng">
              <a:solidFill>
                <a:schemeClr val="accent5"/>
              </a:solidFill>
            </a:ln>
          </c:spPr>
          <c:marker>
            <c:symbol val="none"/>
          </c:marker>
          <c:val>
            <c:numRef>
              <c:f>'Raw Data'!$B$8:$F$8</c:f>
              <c:numCache/>
            </c:numRef>
          </c:val>
          <c:smooth val="0"/>
        </c:ser>
        <c:axId val="508409850"/>
        <c:axId val="104473320"/>
      </c:lineChart>
      <c:catAx>
        <c:axId val="50840985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4473320"/>
      </c:catAx>
      <c:valAx>
        <c:axId val="10447332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840985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Profit Margin % — 2020–2024</a:t>
            </a:r>
          </a:p>
        </c:rich>
      </c:tx>
      <c:overlay val="0"/>
    </c:title>
    <c:plotArea>
      <c:layout/>
      <c:lineChart>
        <c:varyColors val="0"/>
        <c:ser>
          <c:idx val="0"/>
          <c:order val="0"/>
          <c:spPr>
            <a:ln cmpd="sng">
              <a:solidFill>
                <a:srgbClr val="FF00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val>
            <c:numRef>
              <c:f>'Raw Data'!$B$4:$F$4</c:f>
              <c:numCache/>
            </c:numRef>
          </c:val>
          <c:smooth val="0"/>
        </c:ser>
        <c:axId val="819381913"/>
        <c:axId val="68610557"/>
      </c:lineChart>
      <c:catAx>
        <c:axId val="819381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610557"/>
      </c:catAx>
      <c:valAx>
        <c:axId val="68610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938191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Payment Volume Growth 2020–2024 ($B)</a:t>
            </a:r>
          </a:p>
        </c:rich>
      </c:tx>
      <c:overlay val="0"/>
    </c:title>
    <c:plotArea>
      <c:layout/>
      <c:areaChart>
        <c:ser>
          <c:idx val="0"/>
          <c:order val="0"/>
          <c:tx>
            <c:strRef>
              <c:f>'Raw Data'!$A$6</c:f>
            </c:strRef>
          </c:tx>
          <c:spPr>
            <a:solidFill>
              <a:srgbClr val="4A86E8">
                <a:alpha val="30000"/>
              </a:srgbClr>
            </a:solidFill>
            <a:ln cmpd="sng">
              <a:solidFill>
                <a:srgbClr val="4A86E8">
                  <a:alpha val="100000"/>
                </a:srgbClr>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'Raw Data'!$B$6:$F$6</c:f>
              <c:numCache/>
            </c:numRef>
          </c:val>
        </c:ser>
        <c:axId val="314826772"/>
        <c:axId val="2015002240"/>
      </c:areaChart>
      <c:catAx>
        <c:axId val="3148267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15002240"/>
      </c:catAx>
      <c:valAx>
        <c:axId val="2015002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82677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17</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904875</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904875</xdr:colOff>
      <xdr:row>17</xdr:row>
      <xdr:rowOff>180975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3.25"/>
    <col customWidth="1" min="3" max="3" width="43.13"/>
    <col customWidth="1" min="4" max="4" width="26.25"/>
    <col customWidth="1" min="5" max="5" width="24.88"/>
    <col customWidth="1" min="6" max="6" width="16.75"/>
  </cols>
  <sheetData>
    <row r="1">
      <c r="A1" s="1" t="s">
        <v>0</v>
      </c>
      <c r="B1" s="1">
        <v>2020.0</v>
      </c>
      <c r="C1" s="1">
        <v>2021.0</v>
      </c>
      <c r="D1" s="1">
        <v>2022.0</v>
      </c>
      <c r="E1" s="1">
        <v>2023.0</v>
      </c>
      <c r="F1" s="1">
        <v>2024.0</v>
      </c>
    </row>
    <row r="2">
      <c r="A2" s="2" t="s">
        <v>1</v>
      </c>
      <c r="B2" s="3">
        <v>21.45</v>
      </c>
      <c r="C2" s="3">
        <v>25.37</v>
      </c>
      <c r="D2" s="3">
        <v>27.52</v>
      </c>
      <c r="E2" s="3">
        <v>29.77</v>
      </c>
      <c r="F2" s="3">
        <v>31.8</v>
      </c>
    </row>
    <row r="3">
      <c r="A3" s="2" t="s">
        <v>2</v>
      </c>
      <c r="B3" s="2">
        <v>4.2</v>
      </c>
      <c r="C3" s="2">
        <v>4.17</v>
      </c>
      <c r="D3" s="2">
        <v>2.42</v>
      </c>
      <c r="E3" s="2">
        <v>4.25</v>
      </c>
      <c r="F3" s="2">
        <v>4.25</v>
      </c>
    </row>
    <row r="4">
      <c r="A4" s="2" t="s">
        <v>3</v>
      </c>
      <c r="B4" s="3">
        <v>19.6</v>
      </c>
      <c r="C4" s="3">
        <v>16.4</v>
      </c>
      <c r="D4" s="3">
        <v>8.8</v>
      </c>
      <c r="E4" s="3">
        <v>14.3</v>
      </c>
      <c r="F4" s="3">
        <v>13.4</v>
      </c>
    </row>
    <row r="5">
      <c r="A5" s="2" t="s">
        <v>4</v>
      </c>
      <c r="B5" s="2">
        <v>377.0</v>
      </c>
      <c r="C5" s="2">
        <v>426.0</v>
      </c>
      <c r="D5" s="2">
        <v>435.0</v>
      </c>
      <c r="E5" s="2">
        <v>428.0</v>
      </c>
      <c r="F5" s="2">
        <v>434.0</v>
      </c>
    </row>
    <row r="6">
      <c r="A6" s="2" t="s">
        <v>5</v>
      </c>
      <c r="B6" s="3">
        <v>936.0</v>
      </c>
      <c r="C6" s="4">
        <v>1250.0</v>
      </c>
      <c r="D6" s="4">
        <v>1357.0</v>
      </c>
      <c r="E6" s="4">
        <v>1530.0</v>
      </c>
      <c r="F6" s="4">
        <v>1680.0</v>
      </c>
    </row>
    <row r="7">
      <c r="A7" s="2" t="s">
        <v>6</v>
      </c>
      <c r="B7" s="2" t="s">
        <v>7</v>
      </c>
      <c r="C7" s="2">
        <v>18.3</v>
      </c>
      <c r="D7" s="2">
        <v>8.5</v>
      </c>
      <c r="E7" s="2">
        <v>8.2</v>
      </c>
      <c r="F7" s="2">
        <v>6.8</v>
      </c>
    </row>
    <row r="8">
      <c r="A8" s="2" t="s">
        <v>8</v>
      </c>
      <c r="B8" s="3">
        <v>40.9</v>
      </c>
      <c r="C8" s="3">
        <v>45.4</v>
      </c>
      <c r="D8" s="3">
        <v>51.4</v>
      </c>
      <c r="E8" s="3">
        <v>56.6</v>
      </c>
      <c r="F8" s="3">
        <v>61.4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21.5"/>
    <col customWidth="1" min="3" max="3" width="20.0"/>
    <col customWidth="1" min="4" max="4" width="19.0"/>
  </cols>
  <sheetData>
    <row r="1">
      <c r="A1" s="1" t="s">
        <v>9</v>
      </c>
      <c r="B1" s="1" t="s">
        <v>10</v>
      </c>
      <c r="C1" s="1" t="s">
        <v>11</v>
      </c>
      <c r="D1" s="1" t="s">
        <v>12</v>
      </c>
    </row>
    <row r="2">
      <c r="A2" s="5" t="s">
        <v>13</v>
      </c>
      <c r="B2" s="6">
        <f t="shared" ref="B2:B7" si="1">+48.3%</f>
        <v>0.483</v>
      </c>
      <c r="C2" s="6" t="str">
        <f t="shared" ref="C2:C7" si="2">(E2-B2)/B2*100 &amp; "%"</f>
        <v>-100%</v>
      </c>
      <c r="D2" s="7" t="s">
        <v>14</v>
      </c>
    </row>
    <row r="3">
      <c r="A3" s="5" t="s">
        <v>15</v>
      </c>
      <c r="B3" s="6">
        <f t="shared" si="1"/>
        <v>0.483</v>
      </c>
      <c r="C3" s="6" t="str">
        <f t="shared" si="2"/>
        <v>-100%</v>
      </c>
      <c r="D3" s="8" t="s">
        <v>16</v>
      </c>
    </row>
    <row r="4">
      <c r="A4" s="5" t="s">
        <v>17</v>
      </c>
      <c r="B4" s="6">
        <f t="shared" si="1"/>
        <v>0.483</v>
      </c>
      <c r="C4" s="6" t="str">
        <f t="shared" si="2"/>
        <v>-100%</v>
      </c>
      <c r="D4" s="9" t="s">
        <v>18</v>
      </c>
    </row>
    <row r="5">
      <c r="A5" s="5" t="s">
        <v>19</v>
      </c>
      <c r="B5" s="6">
        <f t="shared" si="1"/>
        <v>0.483</v>
      </c>
      <c r="C5" s="6" t="str">
        <f t="shared" si="2"/>
        <v>-100%</v>
      </c>
      <c r="D5" s="10" t="s">
        <v>14</v>
      </c>
    </row>
    <row r="6">
      <c r="A6" s="5" t="s">
        <v>20</v>
      </c>
      <c r="B6" s="6">
        <f t="shared" si="1"/>
        <v>0.483</v>
      </c>
      <c r="C6" s="6" t="str">
        <f t="shared" si="2"/>
        <v>-100%</v>
      </c>
      <c r="D6" s="7" t="s">
        <v>14</v>
      </c>
    </row>
    <row r="7">
      <c r="A7" s="5" t="s">
        <v>21</v>
      </c>
      <c r="B7" s="6">
        <f t="shared" si="1"/>
        <v>0.483</v>
      </c>
      <c r="C7" s="6" t="str">
        <f t="shared" si="2"/>
        <v>-100%</v>
      </c>
      <c r="D7" s="11" t="s">
        <v>22</v>
      </c>
    </row>
    <row r="8">
      <c r="A8"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75"/>
  </cols>
  <sheetData>
    <row r="1">
      <c r="A1" s="13" t="s">
        <v>23</v>
      </c>
    </row>
    <row r="2">
      <c r="A2" s="14"/>
    </row>
    <row r="3">
      <c r="A3" s="13" t="s">
        <v>24</v>
      </c>
    </row>
    <row r="4">
      <c r="A4" s="14"/>
    </row>
    <row r="5">
      <c r="A5" s="13" t="s">
        <v>25</v>
      </c>
    </row>
    <row r="6">
      <c r="A6" s="14"/>
    </row>
    <row r="7">
      <c r="A7" s="13" t="s">
        <v>26</v>
      </c>
    </row>
    <row r="8">
      <c r="A8" s="14"/>
    </row>
    <row r="9">
      <c r="A9" s="13" t="s">
        <v>27</v>
      </c>
    </row>
    <row r="10">
      <c r="A10" s="14"/>
    </row>
    <row r="11">
      <c r="A11" s="13" t="s">
        <v>28</v>
      </c>
    </row>
    <row r="12">
      <c r="A12" s="14"/>
    </row>
    <row r="13">
      <c r="A13" s="13" t="s">
        <v>29</v>
      </c>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drawing r:id="rId1"/>
</worksheet>
</file>