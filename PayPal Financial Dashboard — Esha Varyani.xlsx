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KPI Summary" sheetId="2" r:id="rId6"/>
    <sheet state="visible" name="Dashboard " sheetId="3" r:id="rId7"/>
    <sheet state="visible" name="Analyst Notes" sheetId="4" r:id="rId8"/>
  </sheets>
  <definedNames/>
  <calcPr/>
</workbook>
</file>

<file path=xl/sharedStrings.xml><?xml version="1.0" encoding="utf-8"?>
<sst xmlns="http://schemas.openxmlformats.org/spreadsheetml/2006/main" count="25" uniqueCount="23">
  <si>
    <t>Metric</t>
  </si>
  <si>
    <t>Revenue ($B)</t>
  </si>
  <si>
    <t>Net Income ($B)</t>
  </si>
  <si>
    <t>Net Profit Margin (%)</t>
  </si>
  <si>
    <t>Active Accounts (M)</t>
  </si>
  <si>
    <t>Total Payment Volume ($B)</t>
  </si>
  <si>
    <t>Revenue Growth YoY (%)</t>
  </si>
  <si>
    <t>—</t>
  </si>
  <si>
    <t>Transactions Per Account</t>
  </si>
  <si>
    <t>KPI</t>
  </si>
  <si>
    <t>Value</t>
  </si>
  <si>
    <t>Formula in Google Sheets</t>
  </si>
  <si>
    <t>Status</t>
  </si>
  <si>
    <t>5-Year Revenue Growth</t>
  </si>
  <si>
    <t>✅ Strong</t>
  </si>
  <si>
    <t>2024 Net Profit Margin</t>
  </si>
  <si>
    <t>⚠️ Declining</t>
  </si>
  <si>
    <t>Account Growth (2020–24)</t>
  </si>
  <si>
    <t>⚠️ Slowing</t>
  </si>
  <si>
    <t>TPV Growth (2020–24)</t>
  </si>
  <si>
    <t>Engagement Growth</t>
  </si>
  <si>
    <t>2022 Profitability Dip</t>
  </si>
  <si>
    <t>🔴 Anomaly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</si>
</sst>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9.0"/>
      <color rgb="FFFFFFFF"/>
      <name val="&quot;Anthropic Sans&quot;"/>
    </font>
    <font>
      <sz val="9.0"/>
      <color rgb="FF000000"/>
      <name val="&quot;Anthropic Sans&quot;"/>
    </font>
    <font>
      <sz val="9.0"/>
      <color rgb="FF1E8449"/>
      <name val="&quot;Anthropic Sans&quot;"/>
    </font>
    <font>
      <sz val="9.0"/>
      <color rgb="FFD35400"/>
      <name val="&quot;Anthropic Sans&quot;"/>
    </font>
    <font>
      <sz val="9.0"/>
      <color rgb="FFC0392B"/>
      <name val="&quot;Anthropic Sans&quot;"/>
    </font>
    <font>
      <sz val="12.0"/>
      <color rgb="FFFFFFFF"/>
      <name val="&quot;Anthropic Sans&quot;"/>
    </font>
  </fonts>
  <fills count="7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30302E"/>
        <bgColor rgb="FF30302E"/>
      </patternFill>
    </fill>
    <fill>
      <patternFill patternType="solid">
        <fgColor rgb="FFD6EAF8"/>
        <bgColor rgb="FFD6EAF8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</fills>
  <borders count="2">
    <border/>
    <border>
      <left style="thin">
        <color rgb="FFDEDCD1"/>
      </left>
      <right style="thin">
        <color rgb="FFDEDCD1"/>
      </right>
      <top style="thin">
        <color rgb="FFDEDCD1"/>
      </top>
      <bottom style="thin">
        <color rgb="FFDEDCD1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3" xfId="0" applyAlignment="1" applyBorder="1" applyFont="1" applyNumberForma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Border="1" applyFill="1" applyFont="1"/>
    <xf borderId="1" fillId="4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PayPal Revenue vs Net Income 2020–2024 ($B)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'Raw Data'!$A$2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cat>
            <c:strRef>
              <c:f>'Raw Data'!$B$1:$F$1</c:f>
            </c:strRef>
          </c:cat>
          <c:val>
            <c:numRef>
              <c:f>'Raw Data'!$B$2:$F$2</c:f>
              <c:numCache/>
            </c:numRef>
          </c:val>
        </c:ser>
        <c:ser>
          <c:idx val="1"/>
          <c:order val="1"/>
          <c:tx>
            <c:strRef>
              <c:f>'Raw Data'!$A$3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'Raw Data'!$B$1:$F$1</c:f>
            </c:strRef>
          </c:cat>
          <c:val>
            <c:numRef>
              <c:f>'Raw Data'!$B$3:$F$3</c:f>
              <c:numCache/>
            </c:numRef>
          </c:val>
        </c:ser>
        <c:axId val="987996014"/>
        <c:axId val="1964734005"/>
      </c:barChart>
      <c:catAx>
        <c:axId val="987996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734005"/>
      </c:catAx>
      <c:valAx>
        <c:axId val="1964734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996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Active Accounts vs Transactions Per Account 2020–2024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'Raw Data'!$A$1</c:f>
            </c:strRef>
          </c:tx>
          <c:spPr>
            <a:solidFill>
              <a:srgbClr val="4A86E8"/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dPt>
            <c:idx val="3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'Raw Data'!$B$1:$F$1</c:f>
              <c:numCache/>
            </c:numRef>
          </c:val>
        </c:ser>
        <c:axId val="976398832"/>
        <c:axId val="1920227673"/>
      </c:barChart>
      <c:lineChart>
        <c:varyColors val="0"/>
        <c:ser>
          <c:idx val="1"/>
          <c:order val="1"/>
          <c:tx>
            <c:strRef>
              <c:f>'Raw Data'!$A$5</c:f>
            </c:strRef>
          </c:tx>
          <c:spPr>
            <a:ln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'Raw Data'!$B$5:$F$5</c:f>
              <c:numCache/>
            </c:numRef>
          </c:val>
          <c:smooth val="0"/>
        </c:ser>
        <c:axId val="976398832"/>
        <c:axId val="1920227673"/>
      </c:lineChart>
      <c:catAx>
        <c:axId val="976398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227673"/>
      </c:catAx>
      <c:valAx>
        <c:axId val="1920227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398832"/>
      </c:valAx>
      <c:lineChart>
        <c:varyColors val="0"/>
        <c:ser>
          <c:idx val="2"/>
          <c:order val="2"/>
          <c:tx>
            <c:strRef>
              <c:f>'Raw Data'!$A$8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'Raw Data'!$B$8:$F$8</c:f>
              <c:numCache/>
            </c:numRef>
          </c:val>
          <c:smooth val="0"/>
        </c:ser>
        <c:axId val="667209939"/>
        <c:axId val="749697341"/>
      </c:lineChart>
      <c:catAx>
        <c:axId val="6672099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697341"/>
      </c:catAx>
      <c:valAx>
        <c:axId val="74969734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2099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Profit Margin % — 2020–2024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'Raw Data'!$B$4:$F$4</c:f>
              <c:numCache/>
            </c:numRef>
          </c:val>
          <c:smooth val="0"/>
        </c:ser>
        <c:axId val="990030035"/>
        <c:axId val="1916581697"/>
      </c:lineChart>
      <c:catAx>
        <c:axId val="990030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6581697"/>
      </c:catAx>
      <c:valAx>
        <c:axId val="1916581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0300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Payment Volume Growth 2020–2024 ($B)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'Raw Data'!$A$6</c:f>
            </c:strRef>
          </c:tx>
          <c:spPr>
            <a:solidFill>
              <a:srgbClr val="4A86E8">
                <a:alpha val="30000"/>
              </a:srgbClr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'Raw Data'!$B$6:$F$6</c:f>
              <c:numCache/>
            </c:numRef>
          </c:val>
        </c:ser>
        <c:axId val="1986954250"/>
        <c:axId val="1190407047"/>
      </c:areaChart>
      <c:catAx>
        <c:axId val="1986954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407047"/>
      </c:catAx>
      <c:valAx>
        <c:axId val="1190407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954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904875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904875</xdr:colOff>
      <xdr:row>17</xdr:row>
      <xdr:rowOff>180975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3.25"/>
    <col customWidth="1" min="3" max="3" width="43.13"/>
    <col customWidth="1" min="4" max="4" width="26.25"/>
    <col customWidth="1" min="5" max="5" width="24.88"/>
    <col customWidth="1" min="6" max="6" width="16.75"/>
  </cols>
  <sheetData>
    <row r="1">
      <c r="A1" s="1" t="s">
        <v>0</v>
      </c>
      <c r="B1" s="1">
        <v>2020.0</v>
      </c>
      <c r="C1" s="1">
        <v>2021.0</v>
      </c>
      <c r="D1" s="1">
        <v>2022.0</v>
      </c>
      <c r="E1" s="1">
        <v>2023.0</v>
      </c>
      <c r="F1" s="1">
        <v>2024.0</v>
      </c>
    </row>
    <row r="2">
      <c r="A2" s="2" t="s">
        <v>1</v>
      </c>
      <c r="B2" s="3">
        <v>21.45</v>
      </c>
      <c r="C2" s="3">
        <v>25.37</v>
      </c>
      <c r="D2" s="3">
        <v>27.52</v>
      </c>
      <c r="E2" s="3">
        <v>29.77</v>
      </c>
      <c r="F2" s="3">
        <v>31.8</v>
      </c>
    </row>
    <row r="3">
      <c r="A3" s="2" t="s">
        <v>2</v>
      </c>
      <c r="B3" s="2">
        <v>4.2</v>
      </c>
      <c r="C3" s="2">
        <v>4.17</v>
      </c>
      <c r="D3" s="2">
        <v>2.42</v>
      </c>
      <c r="E3" s="2">
        <v>4.25</v>
      </c>
      <c r="F3" s="2">
        <v>4.25</v>
      </c>
    </row>
    <row r="4">
      <c r="A4" s="2" t="s">
        <v>3</v>
      </c>
      <c r="B4" s="3">
        <v>19.6</v>
      </c>
      <c r="C4" s="3">
        <v>16.4</v>
      </c>
      <c r="D4" s="3">
        <v>8.8</v>
      </c>
      <c r="E4" s="3">
        <v>14.3</v>
      </c>
      <c r="F4" s="3">
        <v>13.4</v>
      </c>
    </row>
    <row r="5">
      <c r="A5" s="2" t="s">
        <v>4</v>
      </c>
      <c r="B5" s="2">
        <v>377.0</v>
      </c>
      <c r="C5" s="2">
        <v>426.0</v>
      </c>
      <c r="D5" s="2">
        <v>435.0</v>
      </c>
      <c r="E5" s="2">
        <v>428.0</v>
      </c>
      <c r="F5" s="2">
        <v>434.0</v>
      </c>
    </row>
    <row r="6">
      <c r="A6" s="2" t="s">
        <v>5</v>
      </c>
      <c r="B6" s="3">
        <v>936.0</v>
      </c>
      <c r="C6" s="4">
        <v>1250.0</v>
      </c>
      <c r="D6" s="4">
        <v>1357.0</v>
      </c>
      <c r="E6" s="4">
        <v>1530.0</v>
      </c>
      <c r="F6" s="4">
        <v>1680.0</v>
      </c>
    </row>
    <row r="7">
      <c r="A7" s="2" t="s">
        <v>6</v>
      </c>
      <c r="B7" s="2" t="s">
        <v>7</v>
      </c>
      <c r="C7" s="2">
        <v>18.3</v>
      </c>
      <c r="D7" s="2">
        <v>8.5</v>
      </c>
      <c r="E7" s="2">
        <v>8.2</v>
      </c>
      <c r="F7" s="2">
        <v>6.8</v>
      </c>
    </row>
    <row r="8">
      <c r="A8" s="2" t="s">
        <v>8</v>
      </c>
      <c r="B8" s="3">
        <v>40.9</v>
      </c>
      <c r="C8" s="3">
        <v>45.4</v>
      </c>
      <c r="D8" s="3">
        <v>51.4</v>
      </c>
      <c r="E8" s="3">
        <v>56.6</v>
      </c>
      <c r="F8" s="3">
        <v>61.4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1.5"/>
    <col customWidth="1" min="3" max="3" width="20.0"/>
    <col customWidth="1" min="4" max="4" width="19.0"/>
  </cols>
  <sheetData>
    <row r="1">
      <c r="A1" s="1" t="s">
        <v>9</v>
      </c>
      <c r="B1" s="1" t="s">
        <v>10</v>
      </c>
      <c r="C1" s="1" t="s">
        <v>11</v>
      </c>
      <c r="D1" s="1" t="s">
        <v>12</v>
      </c>
    </row>
    <row r="2">
      <c r="A2" s="5" t="s">
        <v>13</v>
      </c>
      <c r="B2" s="6">
        <f t="shared" ref="B2:B7" si="1">+48.3%</f>
        <v>0.483</v>
      </c>
      <c r="C2" s="6" t="str">
        <f t="shared" ref="C2:C7" si="2">(E2-B2)/B2*100 &amp; "%"</f>
        <v>-100%</v>
      </c>
      <c r="D2" s="7" t="s">
        <v>14</v>
      </c>
    </row>
    <row r="3">
      <c r="A3" s="5" t="s">
        <v>15</v>
      </c>
      <c r="B3" s="6">
        <f t="shared" si="1"/>
        <v>0.483</v>
      </c>
      <c r="C3" s="6" t="str">
        <f t="shared" si="2"/>
        <v>-100%</v>
      </c>
      <c r="D3" s="8" t="s">
        <v>16</v>
      </c>
    </row>
    <row r="4">
      <c r="A4" s="5" t="s">
        <v>17</v>
      </c>
      <c r="B4" s="6">
        <f t="shared" si="1"/>
        <v>0.483</v>
      </c>
      <c r="C4" s="6" t="str">
        <f t="shared" si="2"/>
        <v>-100%</v>
      </c>
      <c r="D4" s="9" t="s">
        <v>18</v>
      </c>
    </row>
    <row r="5">
      <c r="A5" s="5" t="s">
        <v>19</v>
      </c>
      <c r="B5" s="6">
        <f t="shared" si="1"/>
        <v>0.483</v>
      </c>
      <c r="C5" s="6" t="str">
        <f t="shared" si="2"/>
        <v>-100%</v>
      </c>
      <c r="D5" s="10" t="s">
        <v>14</v>
      </c>
    </row>
    <row r="6">
      <c r="A6" s="5" t="s">
        <v>20</v>
      </c>
      <c r="B6" s="6">
        <f t="shared" si="1"/>
        <v>0.483</v>
      </c>
      <c r="C6" s="6" t="str">
        <f t="shared" si="2"/>
        <v>-100%</v>
      </c>
      <c r="D6" s="7" t="s">
        <v>14</v>
      </c>
    </row>
    <row r="7">
      <c r="A7" s="5" t="s">
        <v>21</v>
      </c>
      <c r="B7" s="6">
        <f t="shared" si="1"/>
        <v>0.483</v>
      </c>
      <c r="C7" s="6" t="str">
        <f t="shared" si="2"/>
        <v>-100%</v>
      </c>
      <c r="D7" s="11" t="s">
        <v>22</v>
      </c>
    </row>
    <row r="8">
      <c r="A8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